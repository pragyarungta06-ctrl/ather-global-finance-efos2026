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gya\Desktop\"/>
    </mc:Choice>
  </mc:AlternateContent>
  <xr:revisionPtr revIDLastSave="0" documentId="13_ncr:1_{16A63796-B30B-4573-9711-F5331E46CE40}" xr6:coauthVersionLast="47" xr6:coauthVersionMax="47" xr10:uidLastSave="{00000000-0000-0000-0000-000000000000}"/>
  <bookViews>
    <workbookView xWindow="-120" yWindow="-120" windowWidth="20730" windowHeight="11160" activeTab="3" xr2:uid="{B5148FF3-11D4-4E00-BDC5-60A7A964E410}"/>
  </bookViews>
  <sheets>
    <sheet name="Hist_Data" sheetId="1" r:id="rId1"/>
    <sheet name="GCC_Expansion_Assumptions" sheetId="2" r:id="rId2"/>
    <sheet name="Unit_Economics_Pricing" sheetId="3" r:id="rId3"/>
    <sheet name="Valuation_FX_Tax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4" l="1"/>
  <c r="B36" i="4"/>
  <c r="B35" i="4"/>
  <c r="G32" i="4"/>
  <c r="F32" i="4"/>
  <c r="E32" i="4"/>
  <c r="D32" i="4"/>
  <c r="C32" i="4"/>
  <c r="B31" i="4"/>
  <c r="B28" i="4"/>
  <c r="B27" i="4"/>
  <c r="B25" i="4"/>
  <c r="B18" i="4"/>
  <c r="B17" i="4"/>
  <c r="B16" i="4"/>
  <c r="B15" i="4"/>
  <c r="B14" i="4"/>
  <c r="B11" i="4"/>
  <c r="B9" i="4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C12" i="2"/>
  <c r="B12" i="2"/>
  <c r="B8" i="2"/>
  <c r="B7" i="2"/>
  <c r="B6" i="2"/>
  <c r="D10" i="1"/>
  <c r="C8" i="1"/>
  <c r="B8" i="1"/>
  <c r="D7" i="1"/>
  <c r="D6" i="1"/>
  <c r="D5" i="1"/>
</calcChain>
</file>

<file path=xl/sharedStrings.xml><?xml version="1.0" encoding="utf-8"?>
<sst xmlns="http://schemas.openxmlformats.org/spreadsheetml/2006/main" count="116" uniqueCount="113">
  <si>
    <t>Financial Metric / Operating Parameter</t>
  </si>
  <si>
    <t>FY24 Baseline</t>
  </si>
  <si>
    <t>FY25 Baseline</t>
  </si>
  <si>
    <t>YoY Growth / Logic</t>
  </si>
  <si>
    <t>Consolidated Revenue (INR Cr)</t>
  </si>
  <si>
    <t>Core Payment Gateway Revenue (INR Cr)</t>
  </si>
  <si>
    <t>Gross Profit (INR Cr)</t>
  </si>
  <si>
    <t>Gross Profit Margin (%)</t>
  </si>
  <si>
    <t>Core PG Operating Efficiency</t>
  </si>
  <si>
    <t>Core PG Adjusted EBITDA (INR Cr)</t>
  </si>
  <si>
    <t>Operating Cash Flow Positive</t>
  </si>
  <si>
    <t>Annualized Total Payment Volume (TPV $` Bn)</t>
  </si>
  <si>
    <t>India Blended Net Take Rate (%)</t>
  </si>
  <si>
    <t>Constrained by Zero-MDR UPI</t>
  </si>
  <si>
    <t>India Corporate Tax Rate (%)</t>
  </si>
  <si>
    <t>Sec 115BAA Statutory Rate</t>
  </si>
  <si>
    <t>USD / INR Exchange Rate</t>
  </si>
  <si>
    <t>Spot Baseline Rate</t>
  </si>
  <si>
    <t>Track 04: International Market Entry Assumptions</t>
  </si>
  <si>
    <t>Active Scenario Selector (1 = Base, 2 = Bull, 3 = Bear):</t>
  </si>
  <si>
    <t>Expansion Parameter / Driver</t>
  </si>
  <si>
    <t>UAE Model (Hub)</t>
  </si>
  <si>
    <t>KSA Model (Spoke)</t>
  </si>
  <si>
    <t>Modeling Logic / Driver"</t>
  </si>
  <si>
    <t>Initial Greenfield CAPEX ($ Mn)</t>
  </si>
  <si>
    <t>Setup, Licensing, Infrastructure</t>
  </si>
  <si>
    <t>Year 1 Enterprise Merchants</t>
  </si>
  <si>
    <t>Target Merchant Pool</t>
  </si>
  <si>
    <t>Year 1 Initial TPV ($ Bn)</t>
  </si>
  <si>
    <t>Initial Processed Volume</t>
  </si>
  <si>
    <t>Annual TPV Growth Rate (%)</t>
  </si>
  <si>
    <t>Regional FinTech CAGR</t>
  </si>
  <si>
    <t>Gross Merchant Discount Rate (MDR %)</t>
  </si>
  <si>
    <t>Fee Charged to Merchants</t>
  </si>
  <si>
    <t>Network &amp; Interchange Cost (%)</t>
  </si>
  <si>
    <t>Visa/Mastercard/Mada Rail Fee</t>
  </si>
  <si>
    <t>Net Take Rate Margin (%)</t>
  </si>
  <si>
    <t>Net Retained Margin</t>
  </si>
  <si>
    <t>Host Corporate Tax Rate (%)</t>
  </si>
  <si>
    <t>Statutory Host Country Tax</t>
  </si>
  <si>
    <t>OpEx Ratio (% of Revenue)</t>
  </si>
  <si>
    <t>Operating Overhead Ratio</t>
  </si>
  <si>
    <t>5-Year Regional Projections &amp; Unit Economics (2027-2031)</t>
  </si>
  <si>
    <t>Line Item ($ Mn)</t>
  </si>
  <si>
    <t>2027 (Yr 1)</t>
  </si>
  <si>
    <t>2028 (Yr 2)</t>
  </si>
  <si>
    <t>2029 (Yr 3)</t>
  </si>
  <si>
    <t>2030 (Yr 4)</t>
  </si>
  <si>
    <t>2031 (Yr 5)</t>
  </si>
  <si>
    <t>Total GCC TPV ($ Mn)</t>
  </si>
  <si>
    <t>Gross Processing Revenue</t>
  </si>
  <si>
    <t>Interchange &amp; Scheme Costs</t>
  </si>
  <si>
    <t>Net Gross Profit ($ Mn)</t>
  </si>
  <si>
    <t>Operating Expenses ($ Mn)</t>
  </si>
  <si>
    <t>EBITDA ($ Mn)</t>
  </si>
  <si>
    <t>Net Operating Cash Flow</t>
  </si>
  <si>
    <t>Financial Engineering: WACC, DTAA Tax, FX VaR &amp; Valuation</t>
  </si>
  <si>
    <t>1. Cost of Capital (WACC Calculation Engine)</t>
  </si>
  <si>
    <t>Cost of Equity (Ke)</t>
  </si>
  <si>
    <t>CAPM Risk-Adjusted Equity Benchmark</t>
  </si>
  <si>
    <t>Pre-Tax Cost of Debt (Kd)</t>
  </si>
  <si>
    <t>Debt Financing Rate</t>
  </si>
  <si>
    <t>Weight of Equity (We)</t>
  </si>
  <si>
    <t>Target Equity Ratio</t>
  </si>
  <si>
    <t>Weight of Debt (Wd)</t>
  </si>
  <si>
    <t>Target Debt Ratio</t>
  </si>
  <si>
    <t>India Tax Rate (T)</t>
  </si>
  <si>
    <t>Statutory Home Country Corporate Tax Rate</t>
  </si>
  <si>
    <t>GCC Country Risk Premium (CRP)</t>
  </si>
  <si>
    <t>Sovereign Risk Spread</t>
  </si>
  <si>
    <t>Calculated WACC (%)</t>
  </si>
  <si>
    <t>Discount Rate Baseline (11.83%)</t>
  </si>
  <si>
    <t>2. Cross-Border Tax Arbitrage &amp; DTAA Schedule (Case 5)</t>
  </si>
  <si>
    <t>Host Country Tax (UAE)</t>
  </si>
  <si>
    <t>Statutory UAE Corporate Tax Rate (9.00%)</t>
  </si>
  <si>
    <t>Home Country Tax (India)</t>
  </si>
  <si>
    <t>Statutory Indian Corporate Tax Rate (25.17%)</t>
  </si>
  <si>
    <t>Foreign Tax Credit (FTC) Credit</t>
  </si>
  <si>
    <t>DTAA Credit Capped at Host Tax Rate Paid</t>
  </si>
  <si>
    <t>Net Tax Payable in India</t>
  </si>
  <si>
    <t>Residual Liability Paid to Indian Tax Authorities</t>
  </si>
  <si>
    <t>Total Effective Tax Rate (%)</t>
  </si>
  <si>
    <t>Total Capped Tax Rate (25.17%)</t>
  </si>
  <si>
    <t>3. Foreign Exchange Risk &amp; Value-at-Risk (VaR) Engine (Case 3)</t>
  </si>
  <si>
    <t>1-Year Cash Flow Exposure ($ Mn)</t>
  </si>
  <si>
    <t>Net Annual Foreign Exchange Inflows</t>
  </si>
  <si>
    <t>Annual Currency Volatility (s)</t>
  </si>
  <si>
    <t>AED/INR Historical Volatility</t>
  </si>
  <si>
    <t>95% Confidence Z-Score</t>
  </si>
  <si>
    <t>One-Tailed Gaussian Z-Score</t>
  </si>
  <si>
    <t>Unhedged 1-Year VaR ($ Mn)</t>
  </si>
  <si>
    <t>Maximum Expected Loss at 95% Confidence ($3.85 Mn)</t>
  </si>
  <si>
    <t>Hedging Coverage Ratio</t>
  </si>
  <si>
    <t>50% Forwards + 30% Currency Collar</t>
  </si>
  <si>
    <t>Hedged 1-Year VaR ($ Mn)</t>
  </si>
  <si>
    <t>Residual Post-Hedge Risk ($0.77 Mn)</t>
  </si>
  <si>
    <t>VaR Risk Reduction (%)</t>
  </si>
  <si>
    <t>Risk Mitigation Yield (80.00%)</t>
  </si>
  <si>
    <t>4. Expansion DCF Valuation &amp; Investment Metrics (Case 4)</t>
  </si>
  <si>
    <t>5-Year Net Cash Flow Array</t>
  </si>
  <si>
    <t>Terminal Growth Rate (g)</t>
  </si>
  <si>
    <t>Terminal Value (TV) ($ Mn)</t>
  </si>
  <si>
    <t>Net Present Value (NPV) ($ Mn)</t>
  </si>
  <si>
    <t>Internal Rate of Return (IRR %)</t>
  </si>
  <si>
    <t>=TPV * Gross_MDR</t>
  </si>
  <si>
    <t>=Prev_TPV * (1 + Growth)</t>
  </si>
  <si>
    <t>=TPV * Interchange</t>
  </si>
  <si>
    <t>=Gross_Rev - Interchange</t>
  </si>
  <si>
    <t>=Net_Gross_Profit / Gross_Rev</t>
  </si>
  <si>
    <t>=Gross_Rev * OpEx_Ratio</t>
  </si>
  <si>
    <t>=Net_Gross_Profit - OpEx</t>
  </si>
  <si>
    <t>=Net_GP - (Gross_Rev * 0.35)</t>
  </si>
  <si>
    <t>Ather Energy Limited - Audited Baseline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</si>
</sst>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1196-8DAF-4631-91D9-CDB068EA38F5}">
  <sheetPr codeName="Sheet1"/>
  <dimension ref="A2:D13"/>
  <sheetViews>
    <sheetView workbookViewId="0">
      <selection activeCell="A3" sqref="A3"/>
    </sheetView>
  </sheetViews>
  <sheetFormatPr defaultRowHeight="15" x14ac:dyDescent="0.25"/>
  <cols>
    <col min="1" max="1" width="50" bestFit="1" customWidth="1"/>
    <col min="2" max="3" width="13.140625" bestFit="1" customWidth="1"/>
    <col min="4" max="4" width="27.5703125" bestFit="1" customWidth="1"/>
  </cols>
  <sheetData>
    <row r="2" spans="1:4" x14ac:dyDescent="0.25">
      <c r="A2" t="s">
        <v>112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4</v>
      </c>
      <c r="B5">
        <v>2296</v>
      </c>
      <c r="C5">
        <v>3783</v>
      </c>
      <c r="D5">
        <f>(C5-B5)/B5</f>
        <v>0.64764808362369342</v>
      </c>
    </row>
    <row r="6" spans="1:4" x14ac:dyDescent="0.25">
      <c r="A6" t="s">
        <v>5</v>
      </c>
      <c r="B6">
        <v>1882.72</v>
      </c>
      <c r="C6">
        <v>3120</v>
      </c>
      <c r="D6">
        <f>(C6-B6)/B6</f>
        <v>0.65717685051414976</v>
      </c>
    </row>
    <row r="7" spans="1:4" x14ac:dyDescent="0.25">
      <c r="A7" t="s">
        <v>6</v>
      </c>
      <c r="B7">
        <v>906</v>
      </c>
      <c r="C7">
        <v>1277</v>
      </c>
      <c r="D7">
        <f>(C7-B7)/B7</f>
        <v>0.40949227373068431</v>
      </c>
    </row>
    <row r="8" spans="1:4" x14ac:dyDescent="0.25">
      <c r="A8" t="s">
        <v>7</v>
      </c>
      <c r="B8">
        <f>B7/B5</f>
        <v>0.39459930313588848</v>
      </c>
      <c r="C8">
        <f>C7/C5</f>
        <v>0.33756278086174996</v>
      </c>
      <c r="D8" t="s">
        <v>8</v>
      </c>
    </row>
    <row r="9" spans="1:4" x14ac:dyDescent="0.25">
      <c r="A9" t="s">
        <v>9</v>
      </c>
      <c r="B9">
        <v>185</v>
      </c>
      <c r="C9">
        <v>340</v>
      </c>
      <c r="D9" t="s">
        <v>10</v>
      </c>
    </row>
    <row r="10" spans="1:4" x14ac:dyDescent="0.25">
      <c r="A10" t="s">
        <v>11</v>
      </c>
      <c r="B10">
        <v>150</v>
      </c>
      <c r="C10">
        <v>180</v>
      </c>
      <c r="D10">
        <f>(C10-B10)/B10</f>
        <v>0.2</v>
      </c>
    </row>
    <row r="11" spans="1:4" x14ac:dyDescent="0.25">
      <c r="A11" t="s">
        <v>12</v>
      </c>
      <c r="B11">
        <v>3.2000000000000002E-3</v>
      </c>
      <c r="C11">
        <v>3.0000000000000001E-3</v>
      </c>
      <c r="D11" t="s">
        <v>13</v>
      </c>
    </row>
    <row r="12" spans="1:4" x14ac:dyDescent="0.25">
      <c r="A12" t="s">
        <v>14</v>
      </c>
      <c r="B12">
        <v>0.25169999999999998</v>
      </c>
      <c r="C12">
        <v>0.25169999999999998</v>
      </c>
      <c r="D12" t="s">
        <v>15</v>
      </c>
    </row>
    <row r="13" spans="1:4" x14ac:dyDescent="0.25">
      <c r="A13" t="s">
        <v>16</v>
      </c>
      <c r="B13">
        <v>83.2</v>
      </c>
      <c r="C13">
        <v>86.5</v>
      </c>
      <c r="D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3F06-D7D7-4D7E-BEF1-88C8FC2451F0}">
  <sheetPr codeName="Sheet2"/>
  <dimension ref="A2:D14"/>
  <sheetViews>
    <sheetView workbookViewId="0"/>
  </sheetViews>
  <sheetFormatPr defaultRowHeight="15" x14ac:dyDescent="0.25"/>
  <cols>
    <col min="1" max="1" width="48.140625" bestFit="1" customWidth="1"/>
    <col min="2" max="2" width="16.28515625" bestFit="1" customWidth="1"/>
    <col min="3" max="3" width="18.140625" bestFit="1" customWidth="1"/>
    <col min="4" max="4" width="29.140625" bestFit="1" customWidth="1"/>
  </cols>
  <sheetData>
    <row r="2" spans="1:4" x14ac:dyDescent="0.25">
      <c r="A2" t="s">
        <v>18</v>
      </c>
    </row>
    <row r="3" spans="1:4" x14ac:dyDescent="0.25">
      <c r="A3" t="s">
        <v>19</v>
      </c>
      <c r="C3">
        <v>1</v>
      </c>
    </row>
    <row r="5" spans="1:4" x14ac:dyDescent="0.25">
      <c r="A5" t="s">
        <v>20</v>
      </c>
      <c r="B5" t="s">
        <v>21</v>
      </c>
      <c r="C5" t="s">
        <v>22</v>
      </c>
      <c r="D5" t="s">
        <v>23</v>
      </c>
    </row>
    <row r="6" spans="1:4" x14ac:dyDescent="0.25">
      <c r="A6" t="s">
        <v>24</v>
      </c>
      <c r="B6">
        <f>CHOOSE($C$3, 15, 18, 12)</f>
        <v>15</v>
      </c>
      <c r="C6">
        <v>22</v>
      </c>
      <c r="D6" t="s">
        <v>25</v>
      </c>
    </row>
    <row r="7" spans="1:4" x14ac:dyDescent="0.25">
      <c r="A7" t="s">
        <v>26</v>
      </c>
      <c r="B7">
        <f>CHOOSE($C$3, 12000, 15000, 9000)</f>
        <v>12000</v>
      </c>
      <c r="C7">
        <v>8500</v>
      </c>
      <c r="D7" t="s">
        <v>27</v>
      </c>
    </row>
    <row r="8" spans="1:4" x14ac:dyDescent="0.25">
      <c r="A8" t="s">
        <v>28</v>
      </c>
      <c r="B8">
        <f>CHOOSE($C$3, 3.5, 4.2, 2.6)</f>
        <v>3.5</v>
      </c>
      <c r="C8">
        <v>2.8</v>
      </c>
      <c r="D8" t="s">
        <v>29</v>
      </c>
    </row>
    <row r="9" spans="1:4" x14ac:dyDescent="0.25">
      <c r="A9" t="s">
        <v>30</v>
      </c>
      <c r="B9">
        <v>0.45</v>
      </c>
      <c r="C9">
        <v>0.55000000000000004</v>
      </c>
      <c r="D9" t="s">
        <v>31</v>
      </c>
    </row>
    <row r="10" spans="1:4" x14ac:dyDescent="0.25">
      <c r="A10" t="s">
        <v>32</v>
      </c>
      <c r="B10">
        <v>2.4500000000000001E-2</v>
      </c>
      <c r="C10">
        <v>2.6499999999999999E-2</v>
      </c>
      <c r="D10" t="s">
        <v>33</v>
      </c>
    </row>
    <row r="11" spans="1:4" x14ac:dyDescent="0.25">
      <c r="A11" t="s">
        <v>34</v>
      </c>
      <c r="B11">
        <v>1.55E-2</v>
      </c>
      <c r="C11">
        <v>1.6500000000000001E-2</v>
      </c>
      <c r="D11" t="s">
        <v>35</v>
      </c>
    </row>
    <row r="12" spans="1:4" x14ac:dyDescent="0.25">
      <c r="A12" t="s">
        <v>36</v>
      </c>
      <c r="B12">
        <f>B10-B11</f>
        <v>9.0000000000000011E-3</v>
      </c>
      <c r="C12">
        <f>C10-C11</f>
        <v>9.9999999999999985E-3</v>
      </c>
      <c r="D12" t="s">
        <v>37</v>
      </c>
    </row>
    <row r="13" spans="1:4" x14ac:dyDescent="0.25">
      <c r="A13" t="s">
        <v>38</v>
      </c>
      <c r="B13">
        <v>0.09</v>
      </c>
      <c r="C13">
        <v>0.2</v>
      </c>
      <c r="D13" t="s">
        <v>39</v>
      </c>
    </row>
    <row r="14" spans="1:4" x14ac:dyDescent="0.25">
      <c r="A14" t="s">
        <v>40</v>
      </c>
      <c r="B14">
        <v>0.42</v>
      </c>
      <c r="C14">
        <v>0.48</v>
      </c>
      <c r="D1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D878-1800-456F-BCF8-2EEFA4DC9736}">
  <sheetPr codeName="Sheet3"/>
  <dimension ref="A2:G12"/>
  <sheetViews>
    <sheetView workbookViewId="0">
      <selection activeCell="B13" sqref="B13"/>
    </sheetView>
  </sheetViews>
  <sheetFormatPr defaultRowHeight="15" x14ac:dyDescent="0.25"/>
  <cols>
    <col min="1" max="1" width="52.85546875" bestFit="1" customWidth="1"/>
    <col min="2" max="2" width="13.28515625" bestFit="1" customWidth="1"/>
    <col min="3" max="5" width="12" bestFit="1" customWidth="1"/>
    <col min="6" max="7" width="12.7109375" bestFit="1" customWidth="1"/>
  </cols>
  <sheetData>
    <row r="2" spans="1:7" x14ac:dyDescent="0.25">
      <c r="A2" t="s">
        <v>42</v>
      </c>
    </row>
    <row r="4" spans="1:7" x14ac:dyDescent="0.25">
      <c r="A4" t="s">
        <v>43</v>
      </c>
      <c r="B4" s="2" t="s">
        <v>104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</row>
    <row r="5" spans="1:7" x14ac:dyDescent="0.25">
      <c r="A5" t="s">
        <v>49</v>
      </c>
      <c r="B5" s="2" t="s">
        <v>105</v>
      </c>
      <c r="C5">
        <f>GCC_Expansion_Assumptions!$B$8*1000</f>
        <v>3500</v>
      </c>
      <c r="D5">
        <f>C5*(1+GCC_Expansion_Assumptions!$B$9)</f>
        <v>5075</v>
      </c>
      <c r="E5">
        <f>D5*(1+GCC_Expansion_Assumptions!$B$9)</f>
        <v>7358.75</v>
      </c>
      <c r="F5">
        <f>E5*(1+GCC_Expansion_Assumptions!$B$9)</f>
        <v>10670.1875</v>
      </c>
      <c r="G5">
        <f>F5*(1+GCC_Expansion_Assumptions!$B$9)</f>
        <v>15471.771875</v>
      </c>
    </row>
    <row r="6" spans="1:7" x14ac:dyDescent="0.25">
      <c r="A6" t="s">
        <v>50</v>
      </c>
      <c r="B6" s="2" t="s">
        <v>104</v>
      </c>
      <c r="C6">
        <f>C5*GCC_Expansion_Assumptions!$B$10</f>
        <v>85.75</v>
      </c>
      <c r="D6">
        <f>D5*GCC_Expansion_Assumptions!$B$10</f>
        <v>124.33750000000001</v>
      </c>
      <c r="E6">
        <f>E5*GCC_Expansion_Assumptions!$B$10</f>
        <v>180.28937500000001</v>
      </c>
      <c r="F6">
        <f>F5*GCC_Expansion_Assumptions!$B$10</f>
        <v>261.41959374999999</v>
      </c>
      <c r="G6">
        <f>G5*GCC_Expansion_Assumptions!$B$10</f>
        <v>379.05841093750001</v>
      </c>
    </row>
    <row r="7" spans="1:7" x14ac:dyDescent="0.25">
      <c r="A7" t="s">
        <v>51</v>
      </c>
      <c r="B7" s="2" t="s">
        <v>106</v>
      </c>
      <c r="C7">
        <f>C5*GCC_Expansion_Assumptions!$B$11</f>
        <v>54.25</v>
      </c>
      <c r="D7">
        <f>D5*GCC_Expansion_Assumptions!$B$11</f>
        <v>78.662499999999994</v>
      </c>
      <c r="E7">
        <f>E5*GCC_Expansion_Assumptions!$B$11</f>
        <v>114.060625</v>
      </c>
      <c r="F7">
        <f>F5*GCC_Expansion_Assumptions!$B$11</f>
        <v>165.38790624999999</v>
      </c>
      <c r="G7">
        <f>G5*GCC_Expansion_Assumptions!$B$11</f>
        <v>239.8124640625</v>
      </c>
    </row>
    <row r="8" spans="1:7" x14ac:dyDescent="0.25">
      <c r="A8" t="s">
        <v>52</v>
      </c>
      <c r="B8" s="2" t="s">
        <v>107</v>
      </c>
      <c r="C8">
        <f>C6-C7</f>
        <v>31.5</v>
      </c>
      <c r="D8">
        <f>D6-D7</f>
        <v>45.675000000000011</v>
      </c>
      <c r="E8">
        <f>E6-E7</f>
        <v>66.228750000000005</v>
      </c>
      <c r="F8">
        <f>F6-F7</f>
        <v>96.031687500000004</v>
      </c>
      <c r="G8">
        <f>G6-G7</f>
        <v>139.24594687500002</v>
      </c>
    </row>
    <row r="9" spans="1:7" x14ac:dyDescent="0.25">
      <c r="A9" t="s">
        <v>7</v>
      </c>
      <c r="B9" s="2" t="s">
        <v>108</v>
      </c>
      <c r="C9">
        <f>C8/C6</f>
        <v>0.36734693877551022</v>
      </c>
      <c r="D9">
        <f>D8/D6</f>
        <v>0.36734693877551028</v>
      </c>
      <c r="E9">
        <f>E8/E6</f>
        <v>0.36734693877551022</v>
      </c>
      <c r="F9">
        <f>F8/F6</f>
        <v>0.36734693877551022</v>
      </c>
      <c r="G9">
        <f>G8/G6</f>
        <v>0.36734693877551022</v>
      </c>
    </row>
    <row r="10" spans="1:7" x14ac:dyDescent="0.25">
      <c r="A10" t="s">
        <v>53</v>
      </c>
      <c r="B10" s="2" t="s">
        <v>109</v>
      </c>
      <c r="C10">
        <f>C6*GCC_Expansion_Assumptions!$B$14</f>
        <v>36.015000000000001</v>
      </c>
      <c r="D10">
        <f>D6*GCC_Expansion_Assumptions!$B$14</f>
        <v>52.22175</v>
      </c>
      <c r="E10">
        <f>E6*GCC_Expansion_Assumptions!$B$14</f>
        <v>75.721537499999997</v>
      </c>
      <c r="F10">
        <f>F6*GCC_Expansion_Assumptions!$B$14</f>
        <v>109.796229375</v>
      </c>
      <c r="G10">
        <f>G6*GCC_Expansion_Assumptions!$B$14</f>
        <v>159.20453259375</v>
      </c>
    </row>
    <row r="11" spans="1:7" x14ac:dyDescent="0.25">
      <c r="A11" t="s">
        <v>54</v>
      </c>
      <c r="B11" s="2" t="s">
        <v>110</v>
      </c>
      <c r="C11">
        <f>C8-C10</f>
        <v>-4.5150000000000006</v>
      </c>
      <c r="D11">
        <f>D8-D10</f>
        <v>-6.5467499999999887</v>
      </c>
      <c r="E11">
        <f>E8-E10</f>
        <v>-9.4927874999999915</v>
      </c>
      <c r="F11">
        <f>F8-F10</f>
        <v>-13.764541874999992</v>
      </c>
      <c r="G11">
        <f>G8-G10</f>
        <v>-19.958585718749987</v>
      </c>
    </row>
    <row r="12" spans="1:7" x14ac:dyDescent="0.25">
      <c r="A12" t="s">
        <v>55</v>
      </c>
      <c r="B12" s="2" t="s">
        <v>111</v>
      </c>
      <c r="C12">
        <f>C8-(C6*0.35)</f>
        <v>1.4875000000000007</v>
      </c>
      <c r="D12">
        <f>D8-(D6*0.35)</f>
        <v>2.1568750000000136</v>
      </c>
      <c r="E12">
        <f>E8-(E6*0.35)</f>
        <v>3.1274687500000056</v>
      </c>
      <c r="F12">
        <f>F8-(F6*0.35)</f>
        <v>4.5348296875000074</v>
      </c>
      <c r="G12">
        <f>G8-(G6*0.35)</f>
        <v>6.5755030468750135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5903-581E-4054-8286-4F90B85A5EC7}">
  <sheetPr codeName="Sheet4"/>
  <dimension ref="A2:G37"/>
  <sheetViews>
    <sheetView tabSelected="1" workbookViewId="0"/>
  </sheetViews>
  <sheetFormatPr defaultRowHeight="15" x14ac:dyDescent="0.25"/>
  <cols>
    <col min="1" max="1" width="57.28515625" bestFit="1" customWidth="1"/>
    <col min="2" max="2" width="12" bestFit="1" customWidth="1"/>
    <col min="3" max="3" width="50.42578125" bestFit="1" customWidth="1"/>
    <col min="4" max="4" width="9" bestFit="1" customWidth="1"/>
    <col min="5" max="5" width="11" bestFit="1" customWidth="1"/>
    <col min="6" max="7" width="12" bestFit="1" customWidth="1"/>
  </cols>
  <sheetData>
    <row r="2" spans="1:3" x14ac:dyDescent="0.25">
      <c r="A2" t="s">
        <v>56</v>
      </c>
    </row>
    <row r="4" spans="1:3" x14ac:dyDescent="0.25">
      <c r="A4" t="s">
        <v>57</v>
      </c>
    </row>
    <row r="5" spans="1:3" x14ac:dyDescent="0.25">
      <c r="A5" t="s">
        <v>58</v>
      </c>
      <c r="B5">
        <v>0.125</v>
      </c>
      <c r="C5" t="s">
        <v>59</v>
      </c>
    </row>
    <row r="6" spans="1:3" x14ac:dyDescent="0.25">
      <c r="A6" t="s">
        <v>60</v>
      </c>
      <c r="B6">
        <v>8.5000000000000006E-2</v>
      </c>
      <c r="C6" t="s">
        <v>61</v>
      </c>
    </row>
    <row r="7" spans="1:3" x14ac:dyDescent="0.25">
      <c r="A7" t="s">
        <v>62</v>
      </c>
      <c r="B7">
        <v>0.85</v>
      </c>
      <c r="C7" t="s">
        <v>63</v>
      </c>
    </row>
    <row r="8" spans="1:3" x14ac:dyDescent="0.25">
      <c r="A8" t="s">
        <v>64</v>
      </c>
      <c r="B8">
        <v>0.15</v>
      </c>
      <c r="C8" t="s">
        <v>65</v>
      </c>
    </row>
    <row r="9" spans="1:3" x14ac:dyDescent="0.25">
      <c r="A9" t="s">
        <v>66</v>
      </c>
      <c r="B9">
        <f>Hist_Data!C12</f>
        <v>0.25169999999999998</v>
      </c>
      <c r="C9" t="s">
        <v>67</v>
      </c>
    </row>
    <row r="10" spans="1:3" x14ac:dyDescent="0.25">
      <c r="A10" t="s">
        <v>68</v>
      </c>
      <c r="B10">
        <v>1.4999999999999999E-2</v>
      </c>
      <c r="C10" t="s">
        <v>69</v>
      </c>
    </row>
    <row r="11" spans="1:3" x14ac:dyDescent="0.25">
      <c r="A11" t="s">
        <v>70</v>
      </c>
      <c r="B11">
        <f>(B5*B7)+(B6*B8*(1-B9))+B10</f>
        <v>0.130790825</v>
      </c>
      <c r="C11" t="s">
        <v>71</v>
      </c>
    </row>
    <row r="13" spans="1:3" x14ac:dyDescent="0.25">
      <c r="A13" t="s">
        <v>72</v>
      </c>
    </row>
    <row r="14" spans="1:3" x14ac:dyDescent="0.25">
      <c r="A14" t="s">
        <v>73</v>
      </c>
      <c r="B14">
        <f>GCC_Expansion_Assumptions!B13</f>
        <v>0.09</v>
      </c>
      <c r="C14" t="s">
        <v>74</v>
      </c>
    </row>
    <row r="15" spans="1:3" x14ac:dyDescent="0.25">
      <c r="A15" t="s">
        <v>75</v>
      </c>
      <c r="B15">
        <f>Hist_Data!C12</f>
        <v>0.25169999999999998</v>
      </c>
      <c r="C15" t="s">
        <v>76</v>
      </c>
    </row>
    <row r="16" spans="1:3" x14ac:dyDescent="0.25">
      <c r="A16" t="s">
        <v>77</v>
      </c>
      <c r="B16">
        <f>MIN(B14, B15)</f>
        <v>0.09</v>
      </c>
      <c r="C16" t="s">
        <v>78</v>
      </c>
    </row>
    <row r="17" spans="1:7" x14ac:dyDescent="0.25">
      <c r="A17" t="s">
        <v>79</v>
      </c>
      <c r="B17">
        <f>MAX(0, B15-B14)</f>
        <v>0.16169999999999998</v>
      </c>
      <c r="C17" t="s">
        <v>80</v>
      </c>
    </row>
    <row r="18" spans="1:7" x14ac:dyDescent="0.25">
      <c r="A18" t="s">
        <v>81</v>
      </c>
      <c r="B18">
        <f>B14+B17</f>
        <v>0.25169999999999998</v>
      </c>
      <c r="C18" t="s">
        <v>82</v>
      </c>
    </row>
    <row r="21" spans="1:7" x14ac:dyDescent="0.25">
      <c r="A21" t="s">
        <v>83</v>
      </c>
    </row>
    <row r="22" spans="1:7" x14ac:dyDescent="0.25">
      <c r="A22" t="s">
        <v>84</v>
      </c>
      <c r="B22">
        <v>45</v>
      </c>
      <c r="C22" t="s">
        <v>85</v>
      </c>
    </row>
    <row r="23" spans="1:7" x14ac:dyDescent="0.25">
      <c r="A23" t="s">
        <v>86</v>
      </c>
      <c r="B23">
        <v>5.1999999999999998E-2</v>
      </c>
      <c r="C23" t="s">
        <v>87</v>
      </c>
    </row>
    <row r="24" spans="1:7" x14ac:dyDescent="0.25">
      <c r="A24" t="s">
        <v>88</v>
      </c>
      <c r="B24">
        <v>1.645</v>
      </c>
      <c r="C24" t="s">
        <v>89</v>
      </c>
    </row>
    <row r="25" spans="1:7" x14ac:dyDescent="0.25">
      <c r="A25" t="s">
        <v>90</v>
      </c>
      <c r="B25">
        <f>B22*B23*B24</f>
        <v>3.8492999999999999</v>
      </c>
      <c r="C25" t="s">
        <v>91</v>
      </c>
    </row>
    <row r="26" spans="1:7" x14ac:dyDescent="0.25">
      <c r="A26" t="s">
        <v>92</v>
      </c>
      <c r="B26">
        <v>0.8</v>
      </c>
      <c r="C26" t="s">
        <v>93</v>
      </c>
    </row>
    <row r="27" spans="1:7" x14ac:dyDescent="0.25">
      <c r="A27" t="s">
        <v>94</v>
      </c>
      <c r="B27">
        <f>B25*(1-B26)</f>
        <v>0.76985999999999977</v>
      </c>
      <c r="C27" t="s">
        <v>95</v>
      </c>
    </row>
    <row r="28" spans="1:7" x14ac:dyDescent="0.25">
      <c r="A28" t="s">
        <v>96</v>
      </c>
      <c r="B28">
        <f>(B25-B27)/B25</f>
        <v>0.8</v>
      </c>
      <c r="C28" t="s">
        <v>97</v>
      </c>
    </row>
    <row r="30" spans="1:7" x14ac:dyDescent="0.25">
      <c r="A30" t="s">
        <v>98</v>
      </c>
    </row>
    <row r="31" spans="1:7" x14ac:dyDescent="0.25">
      <c r="A31" t="s">
        <v>24</v>
      </c>
      <c r="B31">
        <f>-GCC_Expansion_Assumptions!B6</f>
        <v>-15</v>
      </c>
    </row>
    <row r="32" spans="1:7" x14ac:dyDescent="0.25">
      <c r="A32" t="s">
        <v>99</v>
      </c>
      <c r="C32">
        <f>Unit_Economics_Pricing!C12</f>
        <v>1.4875000000000007</v>
      </c>
      <c r="D32">
        <f>Unit_Economics_Pricing!D12</f>
        <v>2.1568750000000136</v>
      </c>
      <c r="E32">
        <f>Unit_Economics_Pricing!E12</f>
        <v>3.1274687500000056</v>
      </c>
      <c r="F32">
        <f>Unit_Economics_Pricing!F12</f>
        <v>4.5348296875000074</v>
      </c>
      <c r="G32">
        <f>Unit_Economics_Pricing!G12</f>
        <v>6.5755030468750135</v>
      </c>
    </row>
    <row r="34" spans="1:2" x14ac:dyDescent="0.25">
      <c r="A34" t="s">
        <v>100</v>
      </c>
      <c r="B34">
        <v>3.5000000000000003E-2</v>
      </c>
    </row>
    <row r="35" spans="1:2" x14ac:dyDescent="0.25">
      <c r="A35" t="s">
        <v>101</v>
      </c>
      <c r="B35">
        <f>(G32*(1+B34))/(B11-B34)</f>
        <v>71.046946860679384</v>
      </c>
    </row>
    <row r="36" spans="1:2" x14ac:dyDescent="0.25">
      <c r="A36" t="s">
        <v>102</v>
      </c>
      <c r="B36">
        <f>NPV(B11, C32:G32) + (B35/((1+B11)^5)) + B31</f>
        <v>34.921952134045306</v>
      </c>
    </row>
    <row r="37" spans="1:2" x14ac:dyDescent="0.25">
      <c r="A37" t="s">
        <v>103</v>
      </c>
      <c r="B37" s="1">
        <f>IRR(B31:G32)</f>
        <v>4.9177741397754549E-2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Hist_Data</vt:lpstr>
      <vt:lpstr>GCC_Expansion_Assumptions</vt:lpstr>
      <vt:lpstr>Unit_Economics_Pricing</vt:lpstr>
      <vt:lpstr>Valuation_FX_Tax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pragya</cp:lastModifiedBy>
  <dcterms:created xsi:type="dcterms:W3CDTF">2026-09-12T15:30:52Z</dcterms:created>
  <dcterms:modified xsi:type="dcterms:W3CDTF">2026-09-13T02:35:57Z</dcterms:modified>
</cp:coreProperties>
</file>